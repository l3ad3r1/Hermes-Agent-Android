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4)"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(44)'!$A$1:$H$34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3"/>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(44) - Screens &amp; Nav - Known Issues - Environment &amp; Traps. Rows T184-T236 (sections 25-34) cover the 2026-08-31 upstream capability port and are the only rows Not run.</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9"/>
    <row r="10">
      <c r="A10" s="5" t="inlineStr">
        <is>
          <t>Live counts</t>
        </is>
      </c>
    </row>
    <row r="11">
      <c r="A11" s="6" t="inlineStr">
        <is>
          <t>Metric</t>
        </is>
      </c>
      <c r="B11" s="6" t="inlineStr">
        <is>
          <t>Count</t>
        </is>
      </c>
    </row>
    <row r="12">
      <c r="A12" s="7" t="inlineStr">
        <is>
          <t>Total test rows</t>
        </is>
      </c>
      <c r="B12" s="7" t="inlineStr">
        <is>
          <t>236</t>
        </is>
      </c>
    </row>
    <row r="13">
      <c r="A13" s="7" t="inlineStr">
        <is>
          <t>P0 rows</t>
        </is>
      </c>
      <c r="B13" s="7" t="inlineStr">
        <is>
          <t>100</t>
        </is>
      </c>
    </row>
    <row r="14">
      <c r="A14" s="7" t="inlineStr">
        <is>
          <t>P1 rows</t>
        </is>
      </c>
      <c r="B14" s="7" t="inlineStr">
        <is>
          <t>81</t>
        </is>
      </c>
    </row>
    <row r="15">
      <c r="A15" s="7" t="inlineStr">
        <is>
          <t>P2 rows</t>
        </is>
      </c>
      <c r="B15" s="7" t="inlineStr">
        <is>
          <t>55</t>
        </is>
      </c>
    </row>
    <row r="16">
      <c r="A16" s="7" t="inlineStr">
        <is>
          <t>Pass</t>
        </is>
      </c>
      <c r="B16" s="7" t="inlineStr">
        <is>
          <t>178</t>
        </is>
      </c>
    </row>
    <row r="17">
      <c r="A17" s="7" t="inlineStr">
        <is>
          <t>Fail</t>
        </is>
      </c>
      <c r="B17" s="7" t="inlineStr">
        <is>
          <t>1</t>
        </is>
      </c>
    </row>
    <row r="18">
      <c r="A18" s="7" t="inlineStr">
        <is>
          <t>Blocked</t>
        </is>
      </c>
      <c r="B18" s="7" t="inlineStr">
        <is>
          <t>4</t>
        </is>
      </c>
    </row>
    <row r="19">
      <c r="A19" s="7" t="inlineStr">
        <is>
          <t>Not run</t>
        </is>
      </c>
      <c r="B19" s="7" t="inlineStr">
        <is>
          <t>53</t>
        </is>
      </c>
    </row>
    <row r="20">
      <c r="A20" s="7" t="inlineStr">
        <is>
          <t>Tools to exercise</t>
        </is>
      </c>
      <c r="B20" s="7">
        <f>COUNTA('Tools (44)'!B2:B45)</f>
        <v/>
      </c>
    </row>
    <row r="21">
      <c r="A21" s="7" t="inlineStr">
        <is>
          <t>Screens to exercise</t>
        </is>
      </c>
      <c r="B21" s="7">
        <f>COUNTA('Screens &amp; Nav'!A2:A29)</f>
        <v/>
      </c>
    </row>
    <row r="22">
      <c r="A22" s="7" t="inlineStr">
        <is>
          <t>Known issues open</t>
        </is>
      </c>
      <c r="B22" s="7">
        <f>COUNTIF('Known Issues'!D2:D35,"OPEN*")</f>
        <v/>
      </c>
    </row>
    <row r="23"/>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9">
      <c r="A29" t="inlineStr">
        <is>
          <t>This pass (2026-08-31)</t>
        </is>
      </c>
    </row>
    <row r="30">
      <c r="A30" t="inlineStr">
        <is>
          <t>*</t>
        </is>
      </c>
      <c r="B30" t="inlineStr">
        <is>
          <t>T001-T183 are the completed 2026-08-30 pass - leave their results alone. T184-T236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K20, K21 and K22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7"/>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Enter the base URL of the Pi and a long-lived access token. Press Test connection.</t>
        </is>
      </c>
      <c r="H185" s="11" t="inlineStr">
        <is>
          <t>Test connection reports success. The token round-trips after an app restart.</t>
        </is>
      </c>
      <c r="I185" s="11" t="inlineStr">
        <is>
          <t>Not run</t>
        </is>
      </c>
      <c r="J185" s="11" t="n"/>
      <c r="K185" s="11" t="n"/>
      <c r="L185" s="11" t="n"/>
      <c r="M185" s="11" t="inlineStr">
        <is>
          <t>Added 2026-08-31 for the upstream capability port (Hermes v0.9.7-v0.10.1 / Jeeves v0.16.4-v0.16.6).</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Not run</t>
        </is>
      </c>
      <c r="J186" s="11" t="n"/>
      <c r="K186" s="11" t="n"/>
      <c r="L186" s="11" t="n"/>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Not run</t>
        </is>
      </c>
      <c r="J187" s="11" t="n"/>
      <c r="K187" s="11" t="n"/>
      <c r="L187" s="11" t="n"/>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Not run</t>
        </is>
      </c>
      <c r="J188" s="11" t="n"/>
      <c r="K188" s="11" t="n"/>
      <c r="L188" s="11" t="n"/>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Not run</t>
        </is>
      </c>
      <c r="J189" s="11" t="n"/>
      <c r="K189" s="11" t="n"/>
      <c r="L189" s="11" t="n"/>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Not run</t>
        </is>
      </c>
      <c r="J190" s="11" t="n"/>
      <c r="K190" s="11" t="n"/>
      <c r="L190" s="11" t="n"/>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Not run</t>
        </is>
      </c>
      <c r="J191" s="11" t="n"/>
      <c r="K191" s="11" t="n"/>
      <c r="L191" s="11" t="n"/>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Not run</t>
        </is>
      </c>
      <c r="J192" s="11" t="n"/>
      <c r="K192" s="11" t="n"/>
      <c r="L192" s="11" t="n"/>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Not run</t>
        </is>
      </c>
      <c r="J193" s="11" t="n"/>
      <c r="K193" s="11" t="n"/>
      <c r="L193" s="11" t="n"/>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Not run</t>
        </is>
      </c>
      <c r="J194" s="11" t="n"/>
      <c r="K194" s="11" t="n"/>
      <c r="L194" s="11" t="n"/>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Not run</t>
        </is>
      </c>
      <c r="J195" s="11" t="n"/>
      <c r="K195" s="11" t="n"/>
      <c r="L195" s="11" t="n"/>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Not run</t>
        </is>
      </c>
      <c r="J196" s="11" t="n"/>
      <c r="K196" s="11" t="n"/>
      <c r="L196" s="11" t="n"/>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Not run</t>
        </is>
      </c>
      <c r="J197" s="11" t="n"/>
      <c r="K197" s="11" t="n"/>
      <c r="L197" s="11" t="n"/>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Not run</t>
        </is>
      </c>
      <c r="J198" s="11" t="n"/>
      <c r="K198" s="11" t="n"/>
      <c r="L198" s="11" t="n"/>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Not run</t>
        </is>
      </c>
      <c r="J199" s="11" t="n"/>
      <c r="K199" s="11" t="n"/>
      <c r="L199" s="11" t="n"/>
      <c r="M199" s="11" t="inlineStr">
        <is>
          <t>Added 2026-08-31 for the upstream capability port (Hermes v0.9.7-v0.10.1 / Jeeves v0.16.4-v0.16.6).</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Not run</t>
        </is>
      </c>
      <c r="J200" s="11" t="n"/>
      <c r="K200" s="11" t="n"/>
      <c r="L200" s="11" t="n"/>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Not run</t>
        </is>
      </c>
      <c r="J201" s="11" t="n"/>
      <c r="K201" s="11" t="n"/>
      <c r="L201" s="11" t="n"/>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Not run</t>
        </is>
      </c>
      <c r="J202" s="11" t="n"/>
      <c r="K202" s="11" t="n"/>
      <c r="L202" s="11" t="n"/>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Not run</t>
        </is>
      </c>
      <c r="J203" s="11" t="n"/>
      <c r="K203" s="11" t="n"/>
      <c r="L203" s="11" t="n"/>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Not run</t>
        </is>
      </c>
      <c r="J204" s="11" t="n"/>
      <c r="K204" s="11" t="n"/>
      <c r="L204" s="11" t="n"/>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Not run</t>
        </is>
      </c>
      <c r="J205" s="11" t="n"/>
      <c r="K205" s="11" t="n"/>
      <c r="L205" s="11" t="n"/>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Not run</t>
        </is>
      </c>
      <c r="J206" s="11" t="n"/>
      <c r="K206" s="11" t="n"/>
      <c r="L206" s="11" t="n"/>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Not run</t>
        </is>
      </c>
      <c r="J207" s="11" t="n"/>
      <c r="K207" s="11" t="n"/>
      <c r="L207" s="11" t="n"/>
      <c r="M207" s="11" t="inlineStr">
        <is>
          <t>Added 2026-08-31 for the upstream capability port (Hermes v0.9.7-v0.10.1 / Jeeves v0.16.4-v0.16.6).</t>
        </is>
      </c>
    </row>
    <row r="208">
      <c r="A208" s="11" t="inlineStr">
        <is>
          <t>T207</t>
        </is>
      </c>
      <c r="B208" s="11" t="inlineStr">
        <is>
          <t>28. MCP client</t>
        </is>
      </c>
      <c r="C208" s="11" t="inlineStr">
        <is>
          <t>There is no way to add an MCP server</t>
        </is>
      </c>
      <c r="D208" s="11" t="inlineStr">
        <is>
          <t>Settings (all sections)</t>
        </is>
      </c>
      <c r="E208" s="11" t="inlineStr">
        <is>
          <t>Functional</t>
        </is>
      </c>
      <c r="F208" s="11" t="inlineStr">
        <is>
          <t>P0</t>
        </is>
      </c>
      <c r="G208" s="11" t="inlineStr">
        <is>
          <t>Look through every Settings section for an MCP or connect-a-server control. Then check the database: select * from mcp_servers.</t>
        </is>
      </c>
      <c r="H208" s="11" t="inlineStr">
        <is>
          <t>KNOWN GAP K20: nothing in the UI or the tool surface writes to mcp_servers, so the table stays empty and no MCP tool can ever load. Expect Fail/Blocked today - record it, do not quietly work around it.</t>
        </is>
      </c>
      <c r="I208" s="11" t="inlineStr">
        <is>
          <t>Not run</t>
        </is>
      </c>
      <c r="J208" s="11" t="n"/>
      <c r="K208" s="11" t="n"/>
      <c r="L208" s="11" t="n"/>
      <c r="M208" s="11" t="inlineStr">
        <is>
          <t>Added 2026-08-31 for the upstream capability port (Hermes v0.9.7-v0.10.1 / Jeeves v0.16.4-v0.16.6).</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Only while K20 is unresolved: insert a row into mcp_servers by hand pointing at a reachable HTTP/SSE MCP server, restart the app, and check discovery.</t>
        </is>
      </c>
      <c r="H209" s="11" t="inlineStr">
        <is>
          <t>Tools appear namespaced as mcp__&lt;server&gt;__&lt;tool&gt; and the catalogue is cached into mcp_tools.</t>
        </is>
      </c>
      <c r="I209" s="11" t="inlineStr">
        <is>
          <t>Not run</t>
        </is>
      </c>
      <c r="J209" s="11" t="n"/>
      <c r="K209" s="11" t="n"/>
      <c r="L209" s="11" t="n"/>
      <c r="M209" s="11" t="inlineStr">
        <is>
          <t>Added 2026-08-31 for the upstream capability port (Hermes v0.9.7-v0.10.1 / Jeeves v0.16.4-v0.16.6).</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Not run</t>
        </is>
      </c>
      <c r="J210" s="11" t="n"/>
      <c r="K210" s="11" t="n"/>
      <c r="L210" s="11" t="n"/>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Not run</t>
        </is>
      </c>
      <c r="J211" s="11" t="n"/>
      <c r="K211" s="11" t="n"/>
      <c r="L211" s="11" t="n"/>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Not run</t>
        </is>
      </c>
      <c r="J212" s="11" t="n"/>
      <c r="K212" s="11" t="n"/>
      <c r="L212" s="11" t="n"/>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Not run</t>
        </is>
      </c>
      <c r="J213" s="11" t="n"/>
      <c r="K213" s="11" t="n"/>
      <c r="L213" s="11" t="n"/>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Not run</t>
        </is>
      </c>
      <c r="J214" s="11" t="n"/>
      <c r="K214" s="11" t="n"/>
      <c r="L214" s="11" t="n"/>
      <c r="M214" s="11" t="inlineStr">
        <is>
          <t>Added 2026-08-31 for the upstream capability port (Hermes v0.9.7-v0.10.1 / Jeeves v0.16.4-v0.16.6).</t>
        </is>
      </c>
    </row>
    <row r="215">
      <c r="A215" s="11" t="inlineStr">
        <is>
          <t>T214</t>
        </is>
      </c>
      <c r="B215" s="11" t="inlineStr">
        <is>
          <t>29. Tool search</t>
        </is>
      </c>
      <c r="C215" s="11" t="inlineStr">
        <is>
          <t>No deferrable tools means no bridge</t>
        </is>
      </c>
      <c r="D215" s="11" t="inlineStr">
        <is>
          <t>Chat / request payload</t>
        </is>
      </c>
      <c r="E215" s="11" t="inlineStr">
        <is>
          <t>Functional</t>
        </is>
      </c>
      <c r="F215" s="11" t="inlineStr">
        <is>
          <t>P1</t>
        </is>
      </c>
      <c r="G215" s="11" t="inlineStr">
        <is>
          <t>With no MCP server configured (the default today), inspect the tools array sent to the model.</t>
        </is>
      </c>
      <c r="H215" s="11" t="inlineStr">
        <is>
          <t>Tier 0 passthrough: every core tool is listed and tool_search / tool_describe / tool_call are NOT injected.</t>
        </is>
      </c>
      <c r="I215" s="11" t="inlineStr">
        <is>
          <t>Not run</t>
        </is>
      </c>
      <c r="J215" s="11" t="n"/>
      <c r="K215" s="11" t="n"/>
      <c r="L215" s="11" t="n"/>
      <c r="M215" s="11" t="inlineStr">
        <is>
          <t>Added 2026-08-31 for the upstream capability port (Hermes v0.9.7-v0.10.1 / Jeeves v0.16.4-v0.16.6).</t>
        </is>
      </c>
    </row>
    <row r="216">
      <c r="A216" s="11" t="inlineStr">
        <is>
          <t>T215</t>
        </is>
      </c>
      <c r="B216" s="11" t="inlineStr">
        <is>
          <t>29. Tool search</t>
        </is>
      </c>
      <c r="C216" s="11" t="inlineStr">
        <is>
          <t>Deferred tools hide behind the bridge</t>
        </is>
      </c>
      <c r="D216" s="11" t="inlineStr">
        <is>
          <t>Chat / request payload</t>
        </is>
      </c>
      <c r="E216" s="11" t="inlineStr">
        <is>
          <t>Functional</t>
        </is>
      </c>
      <c r="F216" s="11" t="inlineStr">
        <is>
          <t>P0</t>
        </is>
      </c>
      <c r="G216" s="11" t="inlineStr">
        <is>
          <t>With a seeded MCP server, inspect the outbound tools array.</t>
        </is>
      </c>
      <c r="H216" s="11" t="inlineStr">
        <is>
          <t>The MCP tools are replaced by the three bridge tools. The full catalogue is not sent.</t>
        </is>
      </c>
      <c r="I216" s="11" t="inlineStr">
        <is>
          <t>Not run</t>
        </is>
      </c>
      <c r="J216" s="11" t="n"/>
      <c r="K216" s="11" t="n"/>
      <c r="L216" s="11" t="n"/>
      <c r="M216" s="11" t="inlineStr">
        <is>
          <t>Added 2026-08-31 for the upstream capability port (Hermes v0.9.7-v0.10.1 / Jeeves v0.16.4-v0.16.6).</t>
        </is>
      </c>
    </row>
    <row r="217">
      <c r="A217" s="11" t="inlineStr">
        <is>
          <t>T216</t>
        </is>
      </c>
      <c r="B217" s="11" t="inlineStr">
        <is>
          <t>29. Tool search</t>
        </is>
      </c>
      <c r="C217" s="11" t="inlineStr">
        <is>
          <t>A core tool is never deferred</t>
        </is>
      </c>
      <c r="D217" s="11" t="inlineStr">
        <is>
          <t>Chat / request payload</t>
        </is>
      </c>
      <c r="E217" s="11" t="inlineStr">
        <is>
          <t>Security</t>
        </is>
      </c>
      <c r="F217" s="11" t="inlineStr">
        <is>
          <t>P0</t>
        </is>
      </c>
      <c r="G217" s="11" t="inlineStr">
        <is>
          <t>With many deferrable tools present, confirm the built-in tools are still directly visible.</t>
        </is>
      </c>
      <c r="H217" s="11" t="inlineStr">
        <is>
          <t>Every AgentToolAccess built-in stays in the model-visible array regardless of catalogue size.</t>
        </is>
      </c>
      <c r="I217" s="11" t="inlineStr">
        <is>
          <t>Not run</t>
        </is>
      </c>
      <c r="J217" s="11" t="n"/>
      <c r="K217" s="11" t="n"/>
      <c r="L217" s="11" t="n"/>
      <c r="M217" s="11" t="inlineStr">
        <is>
          <t>Added 2026-08-31 for the upstream capability port (Hermes v0.9.7-v0.10.1 / Jeeves v0.16.4-v0.16.6).</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Ask for something that needs a deferred tool.</t>
        </is>
      </c>
      <c r="H218" s="11" t="inlineStr">
        <is>
          <t>The model finds it with tool_search and runs it through tool_call, with the confirmation gate still applying.</t>
        </is>
      </c>
      <c r="I218" s="11" t="inlineStr">
        <is>
          <t>Not run</t>
        </is>
      </c>
      <c r="J218" s="11" t="n"/>
      <c r="K218" s="11" t="n"/>
      <c r="L218" s="11" t="n"/>
      <c r="M218" s="11" t="inlineStr">
        <is>
          <t>Added 2026-08-31 for the upstream capability port (Hermes v0.9.7-v0.10.1 / Jeeves v0.16.4-v0.16.6).</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Not run</t>
        </is>
      </c>
      <c r="J219" s="11" t="n"/>
      <c r="K219" s="11" t="n"/>
      <c r="L219" s="11" t="n"/>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Not run</t>
        </is>
      </c>
      <c r="J220" s="11" t="n"/>
      <c r="K220" s="11" t="n"/>
      <c r="L220" s="11" t="n"/>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Not run</t>
        </is>
      </c>
      <c r="J221" s="11" t="n"/>
      <c r="K221" s="11" t="n"/>
      <c r="L221" s="11" t="n"/>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Not run</t>
        </is>
      </c>
      <c r="J222" s="11" t="n"/>
      <c r="K222" s="11" t="n"/>
      <c r="L222" s="11" t="n"/>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Not run</t>
        </is>
      </c>
      <c r="J223" s="11" t="n"/>
      <c r="K223" s="11" t="n"/>
      <c r="L223" s="11" t="n"/>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Not run</t>
        </is>
      </c>
      <c r="J224" s="11" t="n"/>
      <c r="K224" s="11" t="n"/>
      <c r="L224" s="11" t="n"/>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Not run</t>
        </is>
      </c>
      <c r="J225" s="11" t="n"/>
      <c r="K225" s="11" t="n"/>
      <c r="L225" s="11" t="n"/>
      <c r="M225" s="11" t="inlineStr">
        <is>
          <t>Added 2026-08-31 for the upstream capability port (Hermes v0.9.7-v0.10.1 / Jeeves v0.16.4-v0.16.6).</t>
        </is>
      </c>
    </row>
    <row r="226">
      <c r="A226" s="11" t="inlineStr">
        <is>
          <t>T225</t>
        </is>
      </c>
      <c r="B226" s="11" t="inlineStr">
        <is>
          <t>31. Usage insights</t>
        </is>
      </c>
      <c r="C226" s="11" t="inlineStr">
        <is>
          <t>There is no insights screen</t>
        </is>
      </c>
      <c r="D226" s="11" t="inlineStr">
        <is>
          <t>Settings / nav</t>
        </is>
      </c>
      <c r="E226" s="11" t="inlineStr">
        <is>
          <t>Functional</t>
        </is>
      </c>
      <c r="F226" s="11" t="inlineStr">
        <is>
          <t>P2</t>
        </is>
      </c>
      <c r="G226" s="11" t="inlineStr">
        <is>
          <t>Look for a usage or insights screen anywhere in the UI.</t>
        </is>
      </c>
      <c r="H226" s="11" t="inlineStr">
        <is>
          <t>KNOWN GAP K21: the capability is tool-only, with no screen. Record it rather than hunting for a screen that does not exist.</t>
        </is>
      </c>
      <c r="I226" s="11" t="inlineStr">
        <is>
          <t>Not run</t>
        </is>
      </c>
      <c r="J226" s="11" t="n"/>
      <c r="K226" s="11" t="n"/>
      <c r="L226" s="11" t="n"/>
      <c r="M226" s="11" t="inlineStr">
        <is>
          <t>Added 2026-08-31 for the upstream capability port (Hermes v0.9.7-v0.10.1 / Jeeves v0.16.4-v0.16.6).</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Exhaust or invalidate the first.</t>
        </is>
      </c>
      <c r="H227" s="11" t="inlineStr">
        <is>
          <t>The pool rotates to the second key and the turn completes.</t>
        </is>
      </c>
      <c r="I227" s="11" t="inlineStr">
        <is>
          <t>Not run</t>
        </is>
      </c>
      <c r="J227" s="11" t="n"/>
      <c r="K227" s="11" t="n"/>
      <c r="L227" s="11" t="n"/>
      <c r="M227" s="11" t="inlineStr">
        <is>
          <t>Added 2026-08-31 for the upstream capability port (Hermes v0.9.7-v0.10.1 / Jeeves v0.16.4-v0.16.6).</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Not run</t>
        </is>
      </c>
      <c r="J228" s="11" t="n"/>
      <c r="K228" s="11" t="n"/>
      <c r="L228" s="11" t="n"/>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Not run</t>
        </is>
      </c>
      <c r="J229" s="11" t="n"/>
      <c r="K229" s="11" t="n"/>
      <c r="L229" s="11" t="n"/>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Not run</t>
        </is>
      </c>
      <c r="J230" s="11" t="n"/>
      <c r="K230" s="11" t="n"/>
      <c r="L230" s="11" t="n"/>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Not run</t>
        </is>
      </c>
      <c r="J231" s="11" t="n"/>
      <c r="K231" s="11" t="n"/>
      <c r="L231" s="11" t="n"/>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Not run</t>
        </is>
      </c>
      <c r="J232" s="11" t="n"/>
      <c r="K232" s="11" t="n"/>
      <c r="L232" s="11" t="n"/>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Not run</t>
        </is>
      </c>
      <c r="J233" s="11" t="n"/>
      <c r="K233" s="11" t="n"/>
      <c r="L233" s="11" t="n"/>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Not run</t>
        </is>
      </c>
      <c r="J234" s="11" t="n"/>
      <c r="K234" s="11" t="n"/>
      <c r="L234" s="11" t="n"/>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KNOWN GAP K22: the new tools are described only in ConversationalAgent (plus home_assistant in DeviceControlAgent), so other roles hold tools they are never told about. Record which roles actually reach them.</t>
        </is>
      </c>
      <c r="I235" s="11" t="inlineStr">
        <is>
          <t>Not run</t>
        </is>
      </c>
      <c r="J235" s="11" t="n"/>
      <c r="K235" s="11" t="n"/>
      <c r="L235" s="11" t="n"/>
      <c r="M235" s="11" t="inlineStr">
        <is>
          <t>Added 2026-08-31 for the upstream capability port (Hermes v0.9.7-v0.10.1 / Jeeves v0.16.4-v0.16.6).</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Not run</t>
        </is>
      </c>
      <c r="J236" s="11" t="n"/>
      <c r="K236" s="11" t="n"/>
      <c r="L236" s="11" t="n"/>
      <c r="M236" s="11" t="inlineStr">
        <is>
          <t>Added 2026-08-31 for the upstream capability port (Hermes v0.9.7-v0.10.1 / Jeeves v0.16.4-v0.16.6).</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Not run</t>
        </is>
      </c>
      <c r="J237" s="11" t="n"/>
      <c r="K237" s="11" t="n"/>
      <c r="L237" s="11" t="n"/>
      <c r="M237" s="11" t="inlineStr">
        <is>
          <t>Added 2026-08-31 for the upstream capability port (Hermes v0.9.7-v0.10.1 / Jeeves v0.16.4-v0.16.6).</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Not run</t>
        </is>
      </c>
      <c r="H35" s="9" t="n"/>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Not run</t>
        </is>
      </c>
      <c r="H36" s="9" t="n"/>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Not run</t>
        </is>
      </c>
      <c r="H37" s="9" t="n"/>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Not run</t>
        </is>
      </c>
      <c r="H38" s="9" t="n"/>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Not run</t>
        </is>
      </c>
      <c r="H39" s="9" t="n"/>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Not run</t>
        </is>
      </c>
      <c r="H40" s="9" t="n"/>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Not run</t>
        </is>
      </c>
      <c r="H41" s="9" t="n"/>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Not run</t>
        </is>
      </c>
      <c r="H42" s="9" t="n"/>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Not run</t>
        </is>
      </c>
      <c r="H43" s="9" t="n"/>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Not run</t>
        </is>
      </c>
      <c r="H44" s="9" t="n"/>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Not run</t>
        </is>
      </c>
      <c r="H45" s="9" t="n"/>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(verified on device 2026-08-30)</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in agent-core TermuxCommandRunner.kt (RECEIVER_EXPORTED, err &gt; 0) and ChatScreen.kt probe. Verified on Galaxy S24 Ultra in both Hermes Agent (com.hermes.agent.debug) and Jeeves (com.jeeves.app.debug), showing 'Hermes CLI: installed ✓' and launching foreground CLI.</t>
        </is>
      </c>
    </row>
    <row r="23">
      <c r="A23" t="inlineStr">
        <is>
          <t>K21</t>
        </is>
      </c>
      <c r="B23" t="inlineStr">
        <is>
          <t>Chat / lifecycle</t>
        </is>
      </c>
      <c r="C23" t="inlineStr">
        <is>
          <t>A turn cancelled by the ChatViewModel being cleared is lost silently</t>
        </is>
      </c>
      <c r="D23" t="inlineStr">
        <is>
          <t>OPEN (found 2026-08-30)</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Observed 2026-08-30 12:55:18: a user message was persisted to conversation 5d94f2b7 with no assistant reply, no ledger row, no tool row, and zero orchestrator output in a freshly cleared logcat. Reproduced by starting a turn and then resetting navigation. Suggested fix: run the orchestrator on a scope that outlives the screen (an application-scoped or service-scoped coroutine keyed by conversation), or persist an 'interrupted' assistant message in a NonCancellable block so the turn is never left looking unanswered.</t>
        </is>
      </c>
    </row>
    <row r="24">
      <c r="A24" t="inlineStr">
        <is>
          <t>K22</t>
        </is>
      </c>
      <c r="B24" t="inlineStr">
        <is>
          <t>Theme / lifecycle</t>
        </is>
      </c>
      <c r="C24" t="inlineStr">
        <is>
          <t>Theme mode "System" always resolved to dark</t>
        </is>
      </c>
      <c r="D24" t="inlineStr">
        <is>
          <t>FIXED (verified on device 2026-08-30)</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Both apps now map light/dark/system explicitly. Verified on Galaxy S24 Ultra: app renders light while the system stayed in dark mode.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2026-08-30</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Material You is now a single-colour style: the picker swatch, or the wallpaper's own primary, on every tile. 19 tests in TileAccentTest.</t>
        </is>
      </c>
    </row>
    <row r="27">
      <c r="A27" t="inlineStr">
        <is>
          <t>K25</t>
        </is>
      </c>
      <c r="B27" t="inlineStr">
        <is>
          <t>Theme / Cortex</t>
        </is>
      </c>
      <c r="C27" t="inlineStr">
        <is>
          <t>Cortex accents were below the 3:1 floor</t>
        </is>
      </c>
      <c r="D27" t="inlineStr">
        <is>
          <t>FIXED (verified on device 2026-08-30)</t>
        </is>
      </c>
      <c r="E27" t="inlineStr">
        <is>
          <t>Carried over from MyBrain and never checked: cyan #28B0DF reached 2.51:1 against the white drawn on top of it; tile purple #6F4CAD 2.93:1 on the dark surface; orange #E78A00 2.57:1 on the light background.</t>
        </is>
      </c>
      <c r="F27" t="inlineStr">
        <is>
          <t>Repaletted to ember #C1440E / teal #0D6E7C, purple replaced by the scheme's own teal, orange darkened one step. 12 tests in CortexContrastTest.</t>
        </is>
      </c>
    </row>
    <row r="28">
      <c r="A28" t="inlineStr">
        <is>
          <t>K26</t>
        </is>
      </c>
      <c r="B28" t="inlineStr">
        <is>
          <t>Theme / contrast</t>
        </is>
      </c>
      <c r="C28" t="inlineStr">
        <is>
          <t>contrastInkOn chose the worse ink across the whole mid-range</t>
        </is>
      </c>
      <c r="D28" t="inlineStr">
        <is>
          <t>FIXED 2026-08-30</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Threshold corrected to 0.179. A sweep test over 100 greys plus the real palette asserts the better of the two is always chosen.</t>
        </is>
      </c>
    </row>
    <row r="29">
      <c r="A29" t="inlineStr">
        <is>
          <t>K27</t>
        </is>
      </c>
      <c r="B29" t="inlineStr">
        <is>
          <t>Theme / scheme roles</t>
        </is>
      </c>
      <c r="C29" t="inlineStr">
        <is>
          <t>Container roles silently served Material's baseline purple</t>
        </is>
      </c>
      <c r="D29" t="inlineStr">
        <is>
          <t>FIXED (verified on device 2026-08-30)</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Every container is now derived from its accent, with a label kept on the accent's hue. 4 tests in ContainerRoleTest. Verified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K20</t>
        </is>
      </c>
      <c r="B32" t="inlineStr">
        <is>
          <t>MCP client</t>
        </is>
      </c>
      <c r="C32" t="inlineStr">
        <is>
          <t>No code path registers an MCP server</t>
        </is>
      </c>
      <c r="D32" t="inlineStr">
        <is>
          <t>OPEN (found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grep for McpRepository across agent-core and both apps returns only McpManager, which reads servers and writes errors. Fix: an add/remove/enable UI (the plan called for one). Rows T207-T213 depend on this.</t>
        </is>
      </c>
    </row>
    <row r="33">
      <c r="A33" t="inlineStr">
        <is>
          <t>K21</t>
        </is>
      </c>
      <c r="B33" t="inlineStr">
        <is>
          <t>Usage insights</t>
        </is>
      </c>
      <c r="C33" t="inlineStr">
        <is>
          <t>usage_insights has no screen</t>
        </is>
      </c>
      <c r="D33" t="inlineStr">
        <is>
          <t>OPEN (found 2026-08-31)</t>
        </is>
      </c>
      <c r="E33" t="inlineStr">
        <is>
          <t>Phase 7 shipped the tool but not the screen the plan described. The data is reachable only by asking in chat.</t>
        </is>
      </c>
      <c r="F33" t="inlineStr">
        <is>
          <t>No UsageInsight reference anywhere under app/src/main/kotlin/com/hermes/agent/ui/. Row T225.</t>
        </is>
      </c>
    </row>
    <row r="34">
      <c r="A34" t="inlineStr">
        <is>
          <t>K22</t>
        </is>
      </c>
      <c r="B34" t="inlineStr">
        <is>
          <t>Agent prompts</t>
        </is>
      </c>
      <c r="C34" t="inlineStr">
        <is>
          <t>New tools are prompted only in ConversationalAgent</t>
        </is>
      </c>
      <c r="D34" t="inlineStr">
        <is>
          <t>OPEN (found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grep of the five agent prompt files in each app: Conversational 8 mentions, DeviceControl 1, Productivity/Research/Creative 0. Fix: prompt them, or narrow the grants. Row T234.</t>
        </is>
      </c>
    </row>
    <row r="35">
      <c r="A35" t="inlineStr">
        <is>
          <t>K23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(K20).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2026-08-31T06:25:08Z</dcterms:modified>
</cp:coreProperties>
</file>